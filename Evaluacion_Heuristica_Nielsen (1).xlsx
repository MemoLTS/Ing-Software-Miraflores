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Evaluacion" sheetId="2" r:id="rId5"/>
    <sheet state="visible" name="Resumen" sheetId="3" r:id="rId6"/>
    <sheet state="visible" name="Referencia" sheetId="4" r:id="rId7"/>
  </sheets>
  <definedNames/>
  <calcPr/>
  <extLst>
    <ext uri="GoogleSheetsCustomDataVersion2">
      <go:sheetsCustomData xmlns:go="http://customooxmlschemas.google.com/" r:id="rId8" roundtripDataChecksum="Vv1pELgLL66bll/2BOracSKQ+mv2zhHINTZ8cqCMJ6c="/>
    </ext>
  </extLst>
</workbook>
</file>

<file path=xl/sharedStrings.xml><?xml version="1.0" encoding="utf-8"?>
<sst xmlns="http://schemas.openxmlformats.org/spreadsheetml/2006/main" count="262" uniqueCount="208">
  <si>
    <t>EVALUACION HEURISTICA DE USABILIDAD - NIELSEN</t>
  </si>
  <si>
    <t>Ingenieria de Software - Calidad y Pruebas - Plantilla de Evaluacion</t>
  </si>
  <si>
    <t>INSTRUCCIONES DE USO</t>
  </si>
  <si>
    <t>1. Complete los datos del equipo evaluador en esta hoja.</t>
  </si>
  <si>
    <t>2. Navegue por el MVP asignado durante al menos 20 minutos antes de evaluar.</t>
  </si>
  <si>
    <t>3. Use la hoja 'Evaluacion' para registrar todos los problemas encontrados.</t>
  </si>
  <si>
    <t>4. Para cada problema, asigne una severidad segun la escala de Nielsen (0 a 4).</t>
  </si>
  <si>
    <t>5. Documente con capturas de pantalla o notas descriptivas en la columna Evidencia.</t>
  </si>
  <si>
    <t>6. La hoja 'Resumen' se actualiza automaticamente al completar la evaluacion.</t>
  </si>
  <si>
    <t>7. La hoja 'Referencia' contiene los principios y ejemplos para consulta.</t>
  </si>
  <si>
    <t>ESCALA DE SEVERIDAD (Nielsen, 1994)</t>
  </si>
  <si>
    <t>0</t>
  </si>
  <si>
    <t>No es un problema de usabilidad</t>
  </si>
  <si>
    <t>1</t>
  </si>
  <si>
    <t>Problema cosmético | corregir solo si hay tiempo</t>
  </si>
  <si>
    <t>2</t>
  </si>
  <si>
    <t>Problema menor | baja prioridad de correccion</t>
  </si>
  <si>
    <t>3</t>
  </si>
  <si>
    <t>Problema mayor  | alta prioridad, dificulta el uso</t>
  </si>
  <si>
    <t>4</t>
  </si>
  <si>
    <t>CATASTROFICO | imperativo corregir antes del lanzamiento</t>
  </si>
  <si>
    <t>REGISTRO DE PROBLEMAS DE USABILIDAD — EVALUACION HEURISTICA</t>
  </si>
  <si>
    <t>Complete una fila por cada problema encontrado. Puede agregar mas filas segun sea necesario.</t>
  </si>
  <si>
    <t>Heurística</t>
  </si>
  <si>
    <t>Descripción del problema</t>
  </si>
  <si>
    <t>Ubicación en el MVP</t>
  </si>
  <si>
    <t>Severidad</t>
  </si>
  <si>
    <t>Evidencia</t>
  </si>
  <si>
    <t>Recomendación de mejora</t>
  </si>
  <si>
    <t>Evaluador</t>
  </si>
  <si>
    <t>H1 - Visibilidad del estado</t>
  </si>
  <si>
    <t>Al generar un reporte no existe indicador de carga ni confirmación de exportación.</t>
  </si>
  <si>
    <t>Consultas y Reportes</t>
  </si>
  <si>
    <t>Exportación de reportes</t>
  </si>
  <si>
    <t>Mostrar spinner y mensaje "Reporte generado exitosamente".</t>
  </si>
  <si>
    <t>Guillermo</t>
  </si>
  <si>
    <t>H2 - Sistema y mundo real</t>
  </si>
  <si>
    <t>Algunos nombres técnicos como "Dynamic Query" pueden no ser comprendidos por usuarios finales.</t>
  </si>
  <si>
    <t>Menú Reportes</t>
  </si>
  <si>
    <t>Pantalla de reportes</t>
  </si>
  <si>
    <t>Renombrar a "Consultas Avanzadas".</t>
  </si>
  <si>
    <t>H3 - Control y libertad</t>
  </si>
  <si>
    <t>No existe opción para cancelar una solicitud una vez enviada.</t>
  </si>
  <si>
    <t>Formulario Solicitudes</t>
  </si>
  <si>
    <t>Formulario de creación</t>
  </si>
  <si>
    <t>Agregar botón Cancelar y confirmación de salida.</t>
  </si>
  <si>
    <t>H4 - Consistencia y estándares</t>
  </si>
  <si>
    <t>Algunos botones usan distintos textos para la misma acción ("Buscar", "Consultar", "Filtrar").</t>
  </si>
  <si>
    <t>Módulos varios</t>
  </si>
  <si>
    <t>Navegación general</t>
  </si>
  <si>
    <t>Unificar nomenclatura.</t>
  </si>
  <si>
    <t>H5 - Prevención de errores</t>
  </si>
  <si>
    <t>El usuario puede intentar generar reportes sin seleccionar filtros obligatorios.</t>
  </si>
  <si>
    <t>Reportes</t>
  </si>
  <si>
    <t>Generación de reportes</t>
  </si>
  <si>
    <t>Validar filtros antes de ejecutar consulta.</t>
  </si>
  <si>
    <t>H6 - Reconocimiento antes que recuerdo</t>
  </si>
  <si>
    <t>El usuario debe recordar el tipo exacto de solicitud que necesita crear.</t>
  </si>
  <si>
    <t>Crear Solicitud</t>
  </si>
  <si>
    <t>Lista de solicitudes</t>
  </si>
  <si>
    <t>Incorporar categorías e íconos descriptivos.</t>
  </si>
  <si>
    <t>H7 - Flexibilidad y eficiencia</t>
  </si>
  <si>
    <t>No existe exportación masiva a Excel de resultados.</t>
  </si>
  <si>
    <t>Resultados de consulta</t>
  </si>
  <si>
    <t>Agregar exportación Excel y CSV.</t>
  </si>
  <si>
    <t>H8 - Diseño minimalista</t>
  </si>
  <si>
    <t>Algunas pantallas muestran demasiados filtros simultáneamente.</t>
  </si>
  <si>
    <t>Reportes avanzados</t>
  </si>
  <si>
    <t>Formulario filtros</t>
  </si>
  <si>
    <t>Agrupar filtros en secciones desplegables.</t>
  </si>
  <si>
    <t>H9 - Recuperación de errores</t>
  </si>
  <si>
    <t>Los mensajes de error no indican cómo solucionar el problema.</t>
  </si>
  <si>
    <t>Formularios</t>
  </si>
  <si>
    <t>Validaciones</t>
  </si>
  <si>
    <t>Mostrar mensajes descriptivos y acciones correctivas.</t>
  </si>
  <si>
    <t>H10 - Ayuda y documentación</t>
  </si>
  <si>
    <t>No existe sección de ayuda para usuarios nuevos.</t>
  </si>
  <si>
    <t>Sistema completo</t>
  </si>
  <si>
    <t>Navegación principal</t>
  </si>
  <si>
    <t>Incorporar guía rápida y FAQ.</t>
  </si>
  <si>
    <t>No se muestra el estado actual de una solicitud recién creada.</t>
  </si>
  <si>
    <t>Mis Solicitudes</t>
  </si>
  <si>
    <t>Mostrar etiqueta "Pendiente", "En proceso" o "Resuelta".</t>
  </si>
  <si>
    <t>El usuario no sabe cuándo fue actualizada por última vez una solicitud.</t>
  </si>
  <si>
    <t>Detalle Solicitud</t>
  </si>
  <si>
    <t>Vista detalle</t>
  </si>
  <si>
    <t>Mostrar fecha de última actualización.</t>
  </si>
  <si>
    <t>Uso de abreviaturas que pueden resultar ambiguas para usuarios no técnicos.</t>
  </si>
  <si>
    <t>Reportes financieros</t>
  </si>
  <si>
    <t>Tabla de reportes</t>
  </si>
  <si>
    <t>Reemplazar abreviaturas por nombres completos.</t>
  </si>
  <si>
    <t>Algunos íconos carecen de etiquetas descriptivas.</t>
  </si>
  <si>
    <t>Menú lateral</t>
  </si>
  <si>
    <t>Incorporar tooltip o texto explicativo.</t>
  </si>
  <si>
    <t>No existe función para duplicar una solicitud frecuente.</t>
  </si>
  <si>
    <t>Solicitudes</t>
  </si>
  <si>
    <t>Formulario</t>
  </si>
  <si>
    <t>Agregar opción "Duplicar solicitud".</t>
  </si>
  <si>
    <t>No hay opción para volver atrás después de aplicar filtros complejos.</t>
  </si>
  <si>
    <t>Consulta avanzada</t>
  </si>
  <si>
    <t>Agregar botón "Restablecer filtros".</t>
  </si>
  <si>
    <t>Diferentes estilos visuales en botones de acciones similares.</t>
  </si>
  <si>
    <t>Interfaz general</t>
  </si>
  <si>
    <t>Estandarizar componentes UI.</t>
  </si>
  <si>
    <t>Los colores de estado no son consistentes entre pantallas.</t>
  </si>
  <si>
    <t>Solicitudes y reportes</t>
  </si>
  <si>
    <t>Estados visuales</t>
  </si>
  <si>
    <t>Definir una paleta uniforme.</t>
  </si>
  <si>
    <t>El usuario puede ingresar rangos de fechas inválidos.</t>
  </si>
  <si>
    <t>Filtros de fecha</t>
  </si>
  <si>
    <t>Validar fecha inicio ≤ fecha fin.</t>
  </si>
  <si>
    <t>No existe validación para archivos adjuntos demasiado grandes.</t>
  </si>
  <si>
    <t>Adjuntar evidencia</t>
  </si>
  <si>
    <t>Limitar tamaño y formato de archivos.</t>
  </si>
  <si>
    <t>No se muestran sugerencias al buscar residentes.</t>
  </si>
  <si>
    <t>Gestión Residentes</t>
  </si>
  <si>
    <t>Buscador</t>
  </si>
  <si>
    <t>Implementar autocompletado.</t>
  </si>
  <si>
    <t>Las categorías de reportes no poseen descripción contextual.</t>
  </si>
  <si>
    <t>Selector reportes</t>
  </si>
  <si>
    <t>Mostrar ayuda contextual.</t>
  </si>
  <si>
    <t>No existe búsqueda rápida global.</t>
  </si>
  <si>
    <t>Navegación</t>
  </si>
  <si>
    <t>Incorporar buscador global.</t>
  </si>
  <si>
    <t>No existen accesos directos para funciones frecuentes.</t>
  </si>
  <si>
    <t>Dashboard</t>
  </si>
  <si>
    <t>Inicio</t>
  </si>
  <si>
    <t>Agregar accesos rápidos.</t>
  </si>
  <si>
    <t>Exceso de información en algunas tablas de reportes.</t>
  </si>
  <si>
    <t>Tabla resultados</t>
  </si>
  <si>
    <t>Ocultar columnas secundarias por defecto.</t>
  </si>
  <si>
    <t>RESUMEN EJECUTIVO  EVALUACION HEURISTICA</t>
  </si>
  <si>
    <t>Los valores se calculan automaticamente desde la hoja Evaluacion</t>
  </si>
  <si>
    <t>METRICAS GLOBALES</t>
  </si>
  <si>
    <t>Total de problemas registrados</t>
  </si>
  <si>
    <t>Promedio de severidad</t>
  </si>
  <si>
    <t>Problemas catastroficos (sev. 4)</t>
  </si>
  <si>
    <t>Problemas mayores (sev. 3)</t>
  </si>
  <si>
    <t>Problemas menores (sev. 1-2)</t>
  </si>
  <si>
    <t>DISTRIBUCION POR HEURISTICA</t>
  </si>
  <si>
    <t>Heuristica</t>
  </si>
  <si>
    <t># Problemas</t>
  </si>
  <si>
    <t>Sev. Max.</t>
  </si>
  <si>
    <t>Sev. Prom.</t>
  </si>
  <si>
    <t>Estado</t>
  </si>
  <si>
    <t>Prioridad</t>
  </si>
  <si>
    <t>H4 - Consistencia y estandares</t>
  </si>
  <si>
    <t>H5 - Prevencion de errores</t>
  </si>
  <si>
    <t>H6 - Reconocimiento &gt; recuerdo</t>
  </si>
  <si>
    <t>H8 - Diseno minimalista</t>
  </si>
  <si>
    <t>H9 - Recuperacion de errores</t>
  </si>
  <si>
    <t>H10 - Ayuda y documentacion</t>
  </si>
  <si>
    <t>REFERENCIA RAPIDA — 10 HEURISTICAS DE NIELSEN</t>
  </si>
  <si>
    <t>Consulta este panel mientras evaluas el MVP. Los ejemplos son orientativos para sistemas web/movil.</t>
  </si>
  <si>
    <t>#</t>
  </si>
  <si>
    <t>Descripcion del principio</t>
  </si>
  <si>
    <t>Ejemplo en MVP (buena practica)</t>
  </si>
  <si>
    <t>Señal de problema a registrar</t>
  </si>
  <si>
    <t>H1</t>
  </si>
  <si>
    <t>Visibilidad del estado</t>
  </si>
  <si>
    <t>El sistema mantiene informado al usuario sobre lo que ocurre mediante feedback oportuno.</t>
  </si>
  <si>
    <t>Barra de progreso al subir archivos. Spinner de carga. Toast de confirmacion al guardar datos.</t>
  </si>
  <si>
    <t>Boton que no responde visualmente. Sin indicador de carga. Usuario no sabe si la accion funciono.</t>
  </si>
  <si>
    <t>H2</t>
  </si>
  <si>
    <t>Sistema y mundo real</t>
  </si>
  <si>
    <t>El sistema usa el lenguaje del usuario: palabras y conceptos familiares, no tecnicos.</t>
  </si>
  <si>
    <t>Icono de carrito para compras. 'Papelera' para eliminar. Fechas en formato dd/mm/aaaa.</t>
  </si>
  <si>
    <t>Mensajes tecnicos: 'Error 403 Forbidden'. Terminos internos del sistema expuestos al usuario.</t>
  </si>
  <si>
    <t>H3</t>
  </si>
  <si>
    <t>Control y libertad</t>
  </si>
  <si>
    <t>El usuario puede salir de acciones no deseadas con salidas de emergencia claras.</t>
  </si>
  <si>
    <t>Opcion Deshacer al eliminar elemento. Boton Cancelar en formularios. Navegacion por pasos reversible.</t>
  </si>
  <si>
    <t>Sin forma de cancelar un proceso. Formulario sin boton Atras. Sin opcion de deshacer eliminacion.</t>
  </si>
  <si>
    <t>H4</t>
  </si>
  <si>
    <t>Consistencia y estandares</t>
  </si>
  <si>
    <t>Las mismas acciones y elementos se comportan igual en todo el sistema.</t>
  </si>
  <si>
    <t>Boton primario mismo color en todo el sistema. Color rojo siempre indica error. Campos en mismo orden.</t>
  </si>
  <si>
    <t>Guardar, Registrar y Confirmar para la misma accion. Botones de distinto color por modulo.</t>
  </si>
  <si>
    <t>H5</t>
  </si>
  <si>
    <t>Prevencion de errores</t>
  </si>
  <si>
    <t>El diseño evita que los errores ocurran antes de que el usuario los cometa.</t>
  </si>
  <si>
    <t>Campo deshabilitado si falta informacion. Confirmacion antes de eliminar. Validacion en tiempo real.</t>
  </si>
  <si>
    <t>Fecha 30/02 se acepta sin validar. Boton Enviar activo con campos requeridos vacios.</t>
  </si>
  <si>
    <t>H6</t>
  </si>
  <si>
    <t>Reconocimiento &gt; recuerdo</t>
  </si>
  <si>
    <t>Minimizar la carga de memoria: las opciones disponibles deben ser visibles, no memorizadas.</t>
  </si>
  <si>
    <t>Autocompletado en busquedas. Historial de elementos recientes. Breadcrumbs de navegacion.</t>
  </si>
  <si>
    <t>Usuario debe recordar sintaxis exacta. Formulario borra datos al navegar hacia atras.</t>
  </si>
  <si>
    <t>H7</t>
  </si>
  <si>
    <t>Flexibilidad y eficiencia</t>
  </si>
  <si>
    <t>Atajos para expertos sin afectar la experiencia de usuarios nuevos.</t>
  </si>
  <si>
    <t>Atajos de teclado Ctrl+N. Filtros guardados. Exportacion masiva de datos con un clic.</t>
  </si>
  <si>
    <t>Solo se puede registrar de uno en uno. No hay forma de repetir la ultima accion ejecutada.</t>
  </si>
  <si>
    <t>H8</t>
  </si>
  <si>
    <t>Diseño minimalista</t>
  </si>
  <si>
    <t>Solo la informacion necesaria: los elementos irrelevantes compiten por la atencion del usuario.</t>
  </si>
  <si>
    <t>Dashboard con 3 a 5 metricas clave. Formulario en pasos, no todo en una pantalla.</t>
  </si>
  <si>
    <t>20 botones visibles simultaneamente. Panel con informacion que nunca se usa en el flujo principal.</t>
  </si>
  <si>
    <t>H9</t>
  </si>
  <si>
    <t>Recuperacion de errores</t>
  </si>
  <si>
    <t>Los mensajes de error son claros, indican el problema exacto y sugieren una solucion concreta.</t>
  </si>
  <si>
    <t>'El correo no tiene formato valido (ej: usuario@dominio.com)'. Enlace directo a solucion del error.</t>
  </si>
  <si>
    <t>'Error 500'. 'Operacion fallida'. Mensaje generico sin indicar que hacer para resolverlo.</t>
  </si>
  <si>
    <t>H10</t>
  </si>
  <si>
    <t>Ayuda y documentacion</t>
  </si>
  <si>
    <t>La ayuda es facil de encontrar, orientada a tareas concretas y accesible desde el flujo.</t>
  </si>
  <si>
    <t>Tooltip contextual en campos complejos. Guia de inicio rapido. FAQ con buscador integrado.</t>
  </si>
  <si>
    <t>Manual PDF de 80 paginas sin buscador. Ayuda solo accesible desde el menu principal oculto.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</si>
</sst>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1.0"/>
      <color theme="1"/>
      <name val="Calibri"/>
      <scheme val="minor"/>
    </font>
    <font>
      <b/>
      <sz val="16.0"/>
      <color theme="1"/>
      <name val="Arial"/>
    </font>
    <font/>
    <font>
      <i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3.0"/>
      <color theme="1"/>
      <name val="Arial"/>
    </font>
    <font>
      <i/>
      <sz val="9.0"/>
      <color theme="1"/>
      <name val="Arial"/>
    </font>
    <font>
      <b/>
      <sz val="10.0"/>
      <color rgb="FF5F5E5A"/>
      <name val="Arial"/>
    </font>
    <font>
      <sz val="10.0"/>
      <color rgb="FF2C2C2A"/>
      <name val="Arial"/>
    </font>
    <font>
      <b/>
      <sz val="10.0"/>
      <color rgb="FFFFFFFF"/>
      <name val="Arial"/>
    </font>
    <font>
      <sz val="14.0"/>
      <color theme="1"/>
      <name val="Arial"/>
    </font>
    <font>
      <sz val="12.0"/>
      <color theme="1"/>
      <name val="Arial"/>
    </font>
    <font>
      <sz val="11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8F8F6"/>
        <bgColor rgb="FFF8F8F6"/>
      </patternFill>
    </fill>
    <fill>
      <patternFill patternType="solid">
        <fgColor rgb="FFFFFFFF"/>
        <bgColor rgb="FFFFFFFF"/>
      </patternFill>
    </fill>
    <fill>
      <patternFill patternType="solid">
        <fgColor rgb="FF5F5E5A"/>
        <bgColor rgb="FF5F5E5A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readingOrder="0" shrinkToFit="0" vertical="center" wrapText="1"/>
    </xf>
    <xf borderId="8" fillId="3" fontId="9" numFmtId="0" xfId="0" applyAlignment="1" applyBorder="1" applyFill="1" applyFont="1">
      <alignment horizontal="center" readingOrder="0" shrinkToFit="0" vertical="center" wrapText="1"/>
    </xf>
    <xf borderId="8" fillId="3" fontId="10" numFmtId="0" xfId="0" applyAlignment="1" applyBorder="1" applyFont="1">
      <alignment horizontal="left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8" fillId="4" fontId="9" numFmtId="0" xfId="0" applyAlignment="1" applyBorder="1" applyFill="1" applyFont="1">
      <alignment horizontal="center" readingOrder="0" shrinkToFit="0" vertical="center" wrapText="1"/>
    </xf>
    <xf borderId="8" fillId="4" fontId="10" numFmtId="0" xfId="0" applyAlignment="1" applyBorder="1" applyFont="1">
      <alignment horizontal="left" readingOrder="0" shrinkToFit="0" vertical="center" wrapText="1"/>
    </xf>
    <xf borderId="8" fillId="4" fontId="7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ill="1" applyFont="1">
      <alignment horizontal="left" shrinkToFit="0" vertical="center" wrapText="1"/>
    </xf>
    <xf borderId="7" fillId="3" fontId="4" numFmtId="0" xfId="0" applyAlignment="1" applyBorder="1" applyFont="1">
      <alignment horizontal="left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4" fontId="12" numFmtId="16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8" fillId="6" fontId="4" numFmtId="0" xfId="0" applyAlignment="1" applyBorder="1" applyFill="1" applyFont="1">
      <alignment horizontal="left" shrinkToFit="0" vertical="center" wrapText="1"/>
    </xf>
    <xf borderId="8" fillId="6" fontId="13" numFmtId="0" xfId="0" applyAlignment="1" applyBorder="1" applyFont="1">
      <alignment horizontal="center" shrinkToFit="0" vertical="center" wrapText="1"/>
    </xf>
    <xf borderId="8" fillId="6" fontId="14" numFmtId="164" xfId="0" applyAlignment="1" applyBorder="1" applyFont="1" applyNumberFormat="1">
      <alignment horizontal="center" shrinkToFit="0" vertical="center" wrapText="1"/>
    </xf>
    <xf borderId="8" fillId="6" fontId="5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8" fillId="4" fontId="13" numFmtId="0" xfId="0" applyAlignment="1" applyBorder="1" applyFont="1">
      <alignment horizontal="center" shrinkToFit="0" vertical="center" wrapText="1"/>
    </xf>
    <xf borderId="8" fillId="4" fontId="14" numFmtId="164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8">
    <dxf>
      <font>
        <b/>
        <sz val="13.0"/>
        <color rgb="FF5F5E5A"/>
        <name val="Arial"/>
      </font>
      <fill>
        <patternFill patternType="solid">
          <fgColor rgb="FFFFFFFF"/>
          <bgColor rgb="FFFFFFFF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FF9F0"/>
          <bgColor rgb="FFFFF9F0"/>
        </patternFill>
      </fill>
      <border/>
    </dxf>
    <dxf>
      <font>
        <b/>
        <sz val="13.0"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b/>
        <sz val="13.0"/>
        <color rgb="FF8B4000"/>
        <name val="Arial"/>
      </font>
      <fill>
        <patternFill patternType="solid">
          <fgColor rgb="FFFCEBD0"/>
          <bgColor rgb="FFFCEBD0"/>
        </patternFill>
      </fill>
      <border/>
    </dxf>
    <dxf>
      <font>
        <b/>
        <sz val="13.0"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791F1F"/>
        <name val="Arial"/>
      </font>
      <fill>
        <patternFill patternType="solid">
          <fgColor rgb="FFFCEBEB"/>
          <bgColor rgb="FFFCEBEB"/>
        </patternFill>
      </fill>
      <border/>
    </dxf>
    <dxf>
      <font>
        <b/>
        <color rgb="FF633806"/>
        <name val="Arial"/>
      </font>
      <fill>
        <patternFill patternType="solid">
          <fgColor rgb="FFFAEEDA"/>
          <bgColor rgb="FFFAEEDA"/>
        </patternFill>
      </fill>
      <border/>
    </dxf>
    <dxf>
      <font>
        <color rgb="FF27500A"/>
        <name val="Arial"/>
      </font>
      <fill>
        <patternFill patternType="solid">
          <fgColor rgb="FFEAF3DE"/>
          <bgColor rgb="FFEAF3D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50.0"/>
    <col customWidth="1" min="4" max="4" width="22.0"/>
    <col customWidth="1" min="5" max="5" width="18.0"/>
    <col customWidth="1" min="6" max="26" width="8.86"/>
  </cols>
  <sheetData>
    <row r="2" ht="39.75" customHeight="1">
      <c r="B2" s="1" t="s">
        <v>0</v>
      </c>
      <c r="C2" s="2"/>
      <c r="D2" s="2"/>
      <c r="E2" s="3"/>
    </row>
    <row r="3" ht="21.75" customHeight="1">
      <c r="B3" s="4" t="s">
        <v>1</v>
      </c>
      <c r="C3" s="2"/>
      <c r="D3" s="2"/>
      <c r="E3" s="3"/>
    </row>
    <row r="5" ht="18.0" customHeight="1">
      <c r="B5" s="5" t="s">
        <v>2</v>
      </c>
      <c r="C5" s="6"/>
      <c r="D5" s="6"/>
      <c r="E5" s="7"/>
    </row>
    <row r="6" ht="18.0" customHeight="1">
      <c r="B6" s="8" t="s">
        <v>3</v>
      </c>
      <c r="C6" s="6"/>
      <c r="D6" s="6"/>
      <c r="E6" s="7"/>
    </row>
    <row r="7" ht="18.0" customHeight="1">
      <c r="B7" s="8" t="s">
        <v>4</v>
      </c>
      <c r="C7" s="6"/>
      <c r="D7" s="6"/>
      <c r="E7" s="7"/>
    </row>
    <row r="8" ht="18.0" customHeight="1">
      <c r="B8" s="8" t="s">
        <v>5</v>
      </c>
      <c r="C8" s="6"/>
      <c r="D8" s="6"/>
      <c r="E8" s="7"/>
    </row>
    <row r="9" ht="18.0" customHeight="1">
      <c r="B9" s="8" t="s">
        <v>6</v>
      </c>
      <c r="C9" s="6"/>
      <c r="D9" s="6"/>
      <c r="E9" s="7"/>
    </row>
    <row r="10" ht="18.0" customHeight="1">
      <c r="B10" s="8" t="s">
        <v>7</v>
      </c>
      <c r="C10" s="6"/>
      <c r="D10" s="6"/>
      <c r="E10" s="7"/>
    </row>
    <row r="11" ht="18.0" customHeight="1">
      <c r="B11" s="8" t="s">
        <v>8</v>
      </c>
      <c r="C11" s="6"/>
      <c r="D11" s="6"/>
      <c r="E11" s="7"/>
    </row>
    <row r="12" ht="18.0" customHeight="1">
      <c r="B12" s="8" t="s">
        <v>9</v>
      </c>
      <c r="C12" s="6"/>
      <c r="D12" s="6"/>
      <c r="E12" s="7"/>
    </row>
    <row r="15" ht="18.0" customHeight="1">
      <c r="B15" s="9" t="s">
        <v>10</v>
      </c>
      <c r="C15" s="6"/>
      <c r="D15" s="6"/>
      <c r="E15" s="7"/>
    </row>
    <row r="16" ht="18.0" customHeight="1">
      <c r="B16" s="10" t="s">
        <v>11</v>
      </c>
      <c r="C16" s="8" t="s">
        <v>12</v>
      </c>
      <c r="D16" s="6"/>
      <c r="E16" s="7"/>
    </row>
    <row r="17" ht="18.0" customHeight="1">
      <c r="B17" s="10" t="s">
        <v>13</v>
      </c>
      <c r="C17" s="8" t="s">
        <v>14</v>
      </c>
      <c r="D17" s="6"/>
      <c r="E17" s="7"/>
    </row>
    <row r="18" ht="18.0" customHeight="1">
      <c r="B18" s="10" t="s">
        <v>15</v>
      </c>
      <c r="C18" s="8" t="s">
        <v>16</v>
      </c>
      <c r="D18" s="6"/>
      <c r="E18" s="7"/>
    </row>
    <row r="19" ht="18.0" customHeight="1">
      <c r="B19" s="10" t="s">
        <v>17</v>
      </c>
      <c r="C19" s="8" t="s">
        <v>18</v>
      </c>
      <c r="D19" s="6"/>
      <c r="E19" s="7"/>
    </row>
    <row r="20" ht="18.0" customHeight="1">
      <c r="B20" s="10" t="s">
        <v>19</v>
      </c>
      <c r="C20" s="8" t="s">
        <v>20</v>
      </c>
      <c r="D20" s="6"/>
      <c r="E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2:E2"/>
    <mergeCell ref="B3:E3"/>
    <mergeCell ref="B5:E5"/>
    <mergeCell ref="B6:E6"/>
    <mergeCell ref="B7:E7"/>
    <mergeCell ref="B8:E8"/>
    <mergeCell ref="B9:E9"/>
    <mergeCell ref="C19:E19"/>
    <mergeCell ref="C20:E20"/>
    <mergeCell ref="B10:E10"/>
    <mergeCell ref="B11:E11"/>
    <mergeCell ref="B12:E12"/>
    <mergeCell ref="B15:E15"/>
    <mergeCell ref="C16:E16"/>
    <mergeCell ref="C17:E17"/>
    <mergeCell ref="C18:E1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32.0"/>
    <col customWidth="1" min="4" max="4" width="28.0"/>
    <col customWidth="1" min="5" max="5" width="12.0"/>
    <col customWidth="1" min="6" max="6" width="26.0"/>
    <col customWidth="1" min="7" max="7" width="30.0"/>
    <col customWidth="1" min="8" max="8" width="16.0"/>
    <col customWidth="1" min="9" max="26" width="8.86"/>
  </cols>
  <sheetData>
    <row r="1" ht="31.5" customHeight="1">
      <c r="A1" s="11" t="s">
        <v>21</v>
      </c>
      <c r="B1" s="2"/>
      <c r="C1" s="2"/>
      <c r="D1" s="2"/>
      <c r="E1" s="2"/>
      <c r="F1" s="2"/>
      <c r="G1" s="2"/>
      <c r="H1" s="3"/>
    </row>
    <row r="2" ht="15.75" customHeight="1">
      <c r="A2" s="12" t="s">
        <v>22</v>
      </c>
      <c r="B2" s="2"/>
      <c r="C2" s="2"/>
      <c r="D2" s="2"/>
      <c r="E2" s="2"/>
      <c r="F2" s="2"/>
      <c r="G2" s="2"/>
      <c r="H2" s="3"/>
    </row>
    <row r="3" ht="31.5" customHeight="1">
      <c r="A3" s="13"/>
      <c r="B3" s="14" t="s">
        <v>23</v>
      </c>
      <c r="C3" s="14" t="s">
        <v>24</v>
      </c>
      <c r="D3" s="14" t="s">
        <v>25</v>
      </c>
      <c r="E3" s="14" t="s">
        <v>26</v>
      </c>
      <c r="F3" s="14" t="s">
        <v>27</v>
      </c>
      <c r="G3" s="14" t="s">
        <v>28</v>
      </c>
      <c r="H3" s="14" t="s">
        <v>29</v>
      </c>
    </row>
    <row r="4" ht="42.0" customHeight="1">
      <c r="A4" s="15">
        <v>1.0</v>
      </c>
      <c r="B4" s="16" t="s">
        <v>30</v>
      </c>
      <c r="C4" s="16" t="s">
        <v>31</v>
      </c>
      <c r="D4" s="16" t="s">
        <v>32</v>
      </c>
      <c r="E4" s="17">
        <v>3.0</v>
      </c>
      <c r="F4" s="16" t="s">
        <v>33</v>
      </c>
      <c r="G4" s="16" t="s">
        <v>34</v>
      </c>
      <c r="H4" s="16" t="s">
        <v>35</v>
      </c>
    </row>
    <row r="5" ht="42.0" customHeight="1">
      <c r="A5" s="18">
        <v>2.0</v>
      </c>
      <c r="B5" s="19" t="s">
        <v>36</v>
      </c>
      <c r="C5" s="19" t="s">
        <v>37</v>
      </c>
      <c r="D5" s="19" t="s">
        <v>38</v>
      </c>
      <c r="E5" s="20">
        <v>2.0</v>
      </c>
      <c r="F5" s="19" t="s">
        <v>39</v>
      </c>
      <c r="G5" s="19" t="s">
        <v>40</v>
      </c>
      <c r="H5" s="19" t="s">
        <v>35</v>
      </c>
    </row>
    <row r="6" ht="42.0" customHeight="1">
      <c r="A6" s="15">
        <v>3.0</v>
      </c>
      <c r="B6" s="16" t="s">
        <v>41</v>
      </c>
      <c r="C6" s="16" t="s">
        <v>42</v>
      </c>
      <c r="D6" s="16" t="s">
        <v>43</v>
      </c>
      <c r="E6" s="17">
        <v>3.0</v>
      </c>
      <c r="F6" s="16" t="s">
        <v>44</v>
      </c>
      <c r="G6" s="16" t="s">
        <v>45</v>
      </c>
      <c r="H6" s="16" t="s">
        <v>35</v>
      </c>
    </row>
    <row r="7" ht="42.0" customHeight="1">
      <c r="A7" s="18">
        <v>4.0</v>
      </c>
      <c r="B7" s="19" t="s">
        <v>46</v>
      </c>
      <c r="C7" s="19" t="s">
        <v>47</v>
      </c>
      <c r="D7" s="19" t="s">
        <v>48</v>
      </c>
      <c r="E7" s="20">
        <v>2.0</v>
      </c>
      <c r="F7" s="19" t="s">
        <v>49</v>
      </c>
      <c r="G7" s="19" t="s">
        <v>50</v>
      </c>
      <c r="H7" s="19" t="s">
        <v>35</v>
      </c>
    </row>
    <row r="8" ht="42.0" customHeight="1">
      <c r="A8" s="15">
        <v>5.0</v>
      </c>
      <c r="B8" s="16" t="s">
        <v>51</v>
      </c>
      <c r="C8" s="16" t="s">
        <v>52</v>
      </c>
      <c r="D8" s="16" t="s">
        <v>53</v>
      </c>
      <c r="E8" s="17">
        <v>3.0</v>
      </c>
      <c r="F8" s="16" t="s">
        <v>54</v>
      </c>
      <c r="G8" s="16" t="s">
        <v>55</v>
      </c>
      <c r="H8" s="16" t="s">
        <v>35</v>
      </c>
    </row>
    <row r="9" ht="42.0" customHeight="1">
      <c r="A9" s="18">
        <v>6.0</v>
      </c>
      <c r="B9" s="19" t="s">
        <v>56</v>
      </c>
      <c r="C9" s="19" t="s">
        <v>57</v>
      </c>
      <c r="D9" s="19" t="s">
        <v>58</v>
      </c>
      <c r="E9" s="20">
        <v>2.0</v>
      </c>
      <c r="F9" s="19" t="s">
        <v>59</v>
      </c>
      <c r="G9" s="19" t="s">
        <v>60</v>
      </c>
      <c r="H9" s="19" t="s">
        <v>35</v>
      </c>
    </row>
    <row r="10" ht="42.0" customHeight="1">
      <c r="A10" s="15">
        <v>7.0</v>
      </c>
      <c r="B10" s="16" t="s">
        <v>61</v>
      </c>
      <c r="C10" s="16" t="s">
        <v>62</v>
      </c>
      <c r="D10" s="16" t="s">
        <v>32</v>
      </c>
      <c r="E10" s="17">
        <v>3.0</v>
      </c>
      <c r="F10" s="16" t="s">
        <v>63</v>
      </c>
      <c r="G10" s="16" t="s">
        <v>64</v>
      </c>
      <c r="H10" s="16" t="s">
        <v>35</v>
      </c>
    </row>
    <row r="11" ht="42.0" customHeight="1">
      <c r="A11" s="18">
        <v>8.0</v>
      </c>
      <c r="B11" s="19" t="s">
        <v>65</v>
      </c>
      <c r="C11" s="19" t="s">
        <v>66</v>
      </c>
      <c r="D11" s="19" t="s">
        <v>67</v>
      </c>
      <c r="E11" s="20">
        <v>2.0</v>
      </c>
      <c r="F11" s="19" t="s">
        <v>68</v>
      </c>
      <c r="G11" s="19" t="s">
        <v>69</v>
      </c>
      <c r="H11" s="19" t="s">
        <v>35</v>
      </c>
    </row>
    <row r="12" ht="42.0" customHeight="1">
      <c r="A12" s="15">
        <v>9.0</v>
      </c>
      <c r="B12" s="16" t="s">
        <v>70</v>
      </c>
      <c r="C12" s="16" t="s">
        <v>71</v>
      </c>
      <c r="D12" s="16" t="s">
        <v>72</v>
      </c>
      <c r="E12" s="17">
        <v>3.0</v>
      </c>
      <c r="F12" s="16" t="s">
        <v>73</v>
      </c>
      <c r="G12" s="16" t="s">
        <v>74</v>
      </c>
      <c r="H12" s="16" t="s">
        <v>35</v>
      </c>
    </row>
    <row r="13" ht="42.0" customHeight="1">
      <c r="A13" s="18">
        <v>10.0</v>
      </c>
      <c r="B13" s="19" t="s">
        <v>75</v>
      </c>
      <c r="C13" s="19" t="s">
        <v>76</v>
      </c>
      <c r="D13" s="19" t="s">
        <v>77</v>
      </c>
      <c r="E13" s="20">
        <v>2.0</v>
      </c>
      <c r="F13" s="19" t="s">
        <v>78</v>
      </c>
      <c r="G13" s="19" t="s">
        <v>79</v>
      </c>
      <c r="H13" s="19" t="s">
        <v>35</v>
      </c>
    </row>
    <row r="14" ht="42.0" customHeight="1">
      <c r="A14" s="15">
        <v>11.0</v>
      </c>
      <c r="B14" s="16" t="s">
        <v>30</v>
      </c>
      <c r="C14" s="16" t="s">
        <v>80</v>
      </c>
      <c r="D14" s="16" t="s">
        <v>81</v>
      </c>
      <c r="E14" s="17">
        <v>2.0</v>
      </c>
      <c r="F14" s="16" t="s">
        <v>59</v>
      </c>
      <c r="G14" s="16" t="s">
        <v>82</v>
      </c>
      <c r="H14" s="16" t="s">
        <v>35</v>
      </c>
    </row>
    <row r="15" ht="42.0" customHeight="1">
      <c r="A15" s="18">
        <v>12.0</v>
      </c>
      <c r="B15" s="19" t="s">
        <v>30</v>
      </c>
      <c r="C15" s="19" t="s">
        <v>83</v>
      </c>
      <c r="D15" s="19" t="s">
        <v>84</v>
      </c>
      <c r="E15" s="20">
        <v>2.0</v>
      </c>
      <c r="F15" s="19" t="s">
        <v>85</v>
      </c>
      <c r="G15" s="19" t="s">
        <v>86</v>
      </c>
      <c r="H15" s="19" t="s">
        <v>35</v>
      </c>
    </row>
    <row r="16" ht="42.0" customHeight="1">
      <c r="A16" s="15">
        <v>13.0</v>
      </c>
      <c r="B16" s="16" t="s">
        <v>36</v>
      </c>
      <c r="C16" s="16" t="s">
        <v>87</v>
      </c>
      <c r="D16" s="16" t="s">
        <v>88</v>
      </c>
      <c r="E16" s="17">
        <v>2.0</v>
      </c>
      <c r="F16" s="16" t="s">
        <v>89</v>
      </c>
      <c r="G16" s="16" t="s">
        <v>90</v>
      </c>
      <c r="H16" s="16" t="s">
        <v>35</v>
      </c>
    </row>
    <row r="17" ht="42.0" customHeight="1">
      <c r="A17" s="18">
        <v>14.0</v>
      </c>
      <c r="B17" s="19" t="s">
        <v>36</v>
      </c>
      <c r="C17" s="19" t="s">
        <v>91</v>
      </c>
      <c r="D17" s="19" t="s">
        <v>92</v>
      </c>
      <c r="E17" s="20">
        <v>2.0</v>
      </c>
      <c r="F17" s="19" t="s">
        <v>78</v>
      </c>
      <c r="G17" s="19" t="s">
        <v>93</v>
      </c>
      <c r="H17" s="19" t="s">
        <v>35</v>
      </c>
    </row>
    <row r="18" ht="42.0" customHeight="1">
      <c r="A18" s="15">
        <v>15.0</v>
      </c>
      <c r="B18" s="16" t="s">
        <v>41</v>
      </c>
      <c r="C18" s="16" t="s">
        <v>94</v>
      </c>
      <c r="D18" s="16" t="s">
        <v>95</v>
      </c>
      <c r="E18" s="17">
        <v>1.0</v>
      </c>
      <c r="F18" s="16" t="s">
        <v>96</v>
      </c>
      <c r="G18" s="16" t="s">
        <v>97</v>
      </c>
      <c r="H18" s="16" t="s">
        <v>35</v>
      </c>
    </row>
    <row r="19" ht="42.0" customHeight="1">
      <c r="A19" s="18">
        <v>16.0</v>
      </c>
      <c r="B19" s="19" t="s">
        <v>41</v>
      </c>
      <c r="C19" s="19" t="s">
        <v>98</v>
      </c>
      <c r="D19" s="19" t="s">
        <v>53</v>
      </c>
      <c r="E19" s="20">
        <v>2.0</v>
      </c>
      <c r="F19" s="19" t="s">
        <v>99</v>
      </c>
      <c r="G19" s="19" t="s">
        <v>100</v>
      </c>
      <c r="H19" s="19" t="s">
        <v>35</v>
      </c>
    </row>
    <row r="20" ht="42.0" customHeight="1">
      <c r="A20" s="15">
        <v>17.0</v>
      </c>
      <c r="B20" s="16" t="s">
        <v>46</v>
      </c>
      <c r="C20" s="16" t="s">
        <v>101</v>
      </c>
      <c r="D20" s="16" t="s">
        <v>48</v>
      </c>
      <c r="E20" s="17">
        <v>2.0</v>
      </c>
      <c r="F20" s="16" t="s">
        <v>102</v>
      </c>
      <c r="G20" s="16" t="s">
        <v>103</v>
      </c>
      <c r="H20" s="16" t="s">
        <v>35</v>
      </c>
    </row>
    <row r="21" ht="42.0" customHeight="1">
      <c r="A21" s="18">
        <v>18.0</v>
      </c>
      <c r="B21" s="19" t="s">
        <v>46</v>
      </c>
      <c r="C21" s="19" t="s">
        <v>104</v>
      </c>
      <c r="D21" s="19" t="s">
        <v>105</v>
      </c>
      <c r="E21" s="20">
        <v>2.0</v>
      </c>
      <c r="F21" s="19" t="s">
        <v>106</v>
      </c>
      <c r="G21" s="19" t="s">
        <v>107</v>
      </c>
      <c r="H21" s="19" t="s">
        <v>35</v>
      </c>
    </row>
    <row r="22" ht="42.0" customHeight="1">
      <c r="A22" s="15">
        <v>19.0</v>
      </c>
      <c r="B22" s="16" t="s">
        <v>51</v>
      </c>
      <c r="C22" s="16" t="s">
        <v>108</v>
      </c>
      <c r="D22" s="16" t="s">
        <v>53</v>
      </c>
      <c r="E22" s="17">
        <v>3.0</v>
      </c>
      <c r="F22" s="16" t="s">
        <v>109</v>
      </c>
      <c r="G22" s="16" t="s">
        <v>110</v>
      </c>
      <c r="H22" s="16" t="s">
        <v>35</v>
      </c>
    </row>
    <row r="23" ht="42.0" customHeight="1">
      <c r="A23" s="18">
        <v>20.0</v>
      </c>
      <c r="B23" s="19" t="s">
        <v>51</v>
      </c>
      <c r="C23" s="19" t="s">
        <v>111</v>
      </c>
      <c r="D23" s="19" t="s">
        <v>95</v>
      </c>
      <c r="E23" s="20">
        <v>3.0</v>
      </c>
      <c r="F23" s="19" t="s">
        <v>112</v>
      </c>
      <c r="G23" s="19" t="s">
        <v>113</v>
      </c>
      <c r="H23" s="19" t="s">
        <v>35</v>
      </c>
    </row>
    <row r="24" ht="42.0" customHeight="1">
      <c r="A24" s="15">
        <v>21.0</v>
      </c>
      <c r="B24" s="16" t="s">
        <v>56</v>
      </c>
      <c r="C24" s="16" t="s">
        <v>114</v>
      </c>
      <c r="D24" s="16" t="s">
        <v>115</v>
      </c>
      <c r="E24" s="17">
        <v>2.0</v>
      </c>
      <c r="F24" s="16" t="s">
        <v>116</v>
      </c>
      <c r="G24" s="16" t="s">
        <v>117</v>
      </c>
      <c r="H24" s="16" t="s">
        <v>35</v>
      </c>
    </row>
    <row r="25" ht="42.0" customHeight="1">
      <c r="A25" s="18">
        <v>22.0</v>
      </c>
      <c r="B25" s="19" t="s">
        <v>56</v>
      </c>
      <c r="C25" s="19" t="s">
        <v>118</v>
      </c>
      <c r="D25" s="19" t="s">
        <v>53</v>
      </c>
      <c r="E25" s="20">
        <v>1.0</v>
      </c>
      <c r="F25" s="19" t="s">
        <v>119</v>
      </c>
      <c r="G25" s="19" t="s">
        <v>120</v>
      </c>
      <c r="H25" s="19" t="s">
        <v>35</v>
      </c>
    </row>
    <row r="26" ht="42.0" customHeight="1">
      <c r="A26" s="15">
        <v>23.0</v>
      </c>
      <c r="B26" s="16" t="s">
        <v>61</v>
      </c>
      <c r="C26" s="16" t="s">
        <v>121</v>
      </c>
      <c r="D26" s="16" t="s">
        <v>77</v>
      </c>
      <c r="E26" s="17">
        <v>3.0</v>
      </c>
      <c r="F26" s="16" t="s">
        <v>122</v>
      </c>
      <c r="G26" s="16" t="s">
        <v>123</v>
      </c>
      <c r="H26" s="16" t="s">
        <v>35</v>
      </c>
    </row>
    <row r="27" ht="42.0" customHeight="1">
      <c r="A27" s="18">
        <v>24.0</v>
      </c>
      <c r="B27" s="19" t="s">
        <v>61</v>
      </c>
      <c r="C27" s="19" t="s">
        <v>124</v>
      </c>
      <c r="D27" s="19" t="s">
        <v>125</v>
      </c>
      <c r="E27" s="20">
        <v>2.0</v>
      </c>
      <c r="F27" s="19" t="s">
        <v>126</v>
      </c>
      <c r="G27" s="19" t="s">
        <v>127</v>
      </c>
      <c r="H27" s="19" t="s">
        <v>35</v>
      </c>
    </row>
    <row r="28" ht="42.0" customHeight="1">
      <c r="A28" s="15">
        <v>25.0</v>
      </c>
      <c r="B28" s="16" t="s">
        <v>65</v>
      </c>
      <c r="C28" s="16" t="s">
        <v>128</v>
      </c>
      <c r="D28" s="16" t="s">
        <v>88</v>
      </c>
      <c r="E28" s="17">
        <v>2.0</v>
      </c>
      <c r="F28" s="16" t="s">
        <v>129</v>
      </c>
      <c r="G28" s="16" t="s">
        <v>130</v>
      </c>
      <c r="H28" s="16" t="s">
        <v>35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conditionalFormatting sqref="E4:E28">
    <cfRule type="cellIs" dxfId="0" priority="1" operator="equal">
      <formula>0</formula>
    </cfRule>
  </conditionalFormatting>
  <conditionalFormatting sqref="E4:E28">
    <cfRule type="cellIs" dxfId="1" priority="2" operator="equal">
      <formula>1</formula>
    </cfRule>
  </conditionalFormatting>
  <conditionalFormatting sqref="E4:E28">
    <cfRule type="cellIs" dxfId="2" priority="3" operator="equal">
      <formula>2</formula>
    </cfRule>
  </conditionalFormatting>
  <conditionalFormatting sqref="E4:E28">
    <cfRule type="cellIs" dxfId="3" priority="4" operator="equal">
      <formula>3</formula>
    </cfRule>
  </conditionalFormatting>
  <conditionalFormatting sqref="E4:E28">
    <cfRule type="cellIs" dxfId="4" priority="5" operator="equal">
      <formula>4</formula>
    </cfRule>
  </conditionalFormatting>
  <dataValidations>
    <dataValidation type="list" allowBlank="1" showInputMessage="1" showErrorMessage="1" prompt="Valor invalido - Seleccione una heuristica de la lista." sqref="B4:B28">
      <formula1>_LONGTEXT("H1 - Visibilidad del estado,H2 - Sistema y mundo real,H3 - Control y libertad,H4 - Consistencia y estandares,H5 - Prevencion de errores,H6 - Reconocimiento &gt; recuerdo,H7 - Flexibilidad y eficiencia,H8 - Diseno minimalista,H9 - Recuperacion de errores,H10 ","- Ayuda y documentacion")</formula1>
    </dataValidation>
    <dataValidation type="decimal" allowBlank="1" showInputMessage="1" showErrorMessage="1" prompt="Escala de severidad - 0=No problema  1=Cosmético  2=Menor  3=Mayor  4=Catastrófico" sqref="E4:E28">
      <formula1>0.0</formula1>
      <formula2>4.0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5" width="14.0"/>
    <col customWidth="1" min="6" max="6" width="18.0"/>
    <col customWidth="1" min="7" max="7" width="20.0"/>
    <col customWidth="1" min="8" max="26" width="8.86"/>
  </cols>
  <sheetData>
    <row r="1" ht="31.5" customHeight="1">
      <c r="B1" s="11" t="s">
        <v>131</v>
      </c>
      <c r="C1" s="2"/>
      <c r="D1" s="2"/>
      <c r="E1" s="2"/>
      <c r="F1" s="2"/>
      <c r="G1" s="3"/>
    </row>
    <row r="2" ht="15.75" customHeight="1">
      <c r="B2" s="12" t="s">
        <v>132</v>
      </c>
      <c r="C2" s="2"/>
      <c r="D2" s="2"/>
      <c r="E2" s="2"/>
      <c r="F2" s="2"/>
      <c r="G2" s="3"/>
    </row>
    <row r="4" ht="18.0" customHeight="1">
      <c r="B4" s="21" t="s">
        <v>133</v>
      </c>
      <c r="C4" s="2"/>
      <c r="D4" s="2"/>
      <c r="E4" s="2"/>
      <c r="F4" s="2"/>
      <c r="G4" s="3"/>
    </row>
    <row r="5" ht="21.75" customHeight="1">
      <c r="B5" s="22" t="s">
        <v>134</v>
      </c>
      <c r="C5" s="23">
        <f>COUNTA(Evaluacion!C4:C28)</f>
        <v>25</v>
      </c>
      <c r="D5" s="7"/>
    </row>
    <row r="6" ht="21.75" customHeight="1">
      <c r="B6" s="22" t="s">
        <v>135</v>
      </c>
      <c r="C6" s="24">
        <f>IFERROR(AVERAGE(Evaluacion!E4:E28),0)</f>
        <v>2.24</v>
      </c>
      <c r="D6" s="7"/>
    </row>
    <row r="7" ht="21.75" customHeight="1">
      <c r="B7" s="22" t="s">
        <v>136</v>
      </c>
      <c r="C7" s="23">
        <f>COUNTIF(Evaluacion!E4:E28,4)</f>
        <v>0</v>
      </c>
      <c r="D7" s="7"/>
    </row>
    <row r="8" ht="21.75" customHeight="1">
      <c r="B8" s="22" t="s">
        <v>137</v>
      </c>
      <c r="C8" s="23">
        <f>COUNTIF(Evaluacion!E4:E28,3)</f>
        <v>8</v>
      </c>
      <c r="D8" s="7"/>
    </row>
    <row r="9" ht="21.75" customHeight="1">
      <c r="B9" s="22" t="s">
        <v>138</v>
      </c>
      <c r="C9" s="23">
        <f>COUNTIFS(Evaluacion!E4:E28,"&gt;=1",Evaluacion!E4:E28,"&lt;=2")</f>
        <v>17</v>
      </c>
      <c r="D9" s="7"/>
    </row>
    <row r="11" ht="18.0" customHeight="1">
      <c r="B11" s="25" t="s">
        <v>139</v>
      </c>
      <c r="C11" s="2"/>
      <c r="D11" s="2"/>
      <c r="E11" s="2"/>
      <c r="F11" s="2"/>
      <c r="G11" s="3"/>
    </row>
    <row r="12" ht="19.5" customHeight="1">
      <c r="B12" s="13" t="s">
        <v>140</v>
      </c>
      <c r="C12" s="13" t="s">
        <v>141</v>
      </c>
      <c r="D12" s="13" t="s">
        <v>142</v>
      </c>
      <c r="E12" s="13" t="s">
        <v>143</v>
      </c>
      <c r="F12" s="13" t="s">
        <v>144</v>
      </c>
      <c r="G12" s="13" t="s">
        <v>145</v>
      </c>
    </row>
    <row r="13" ht="19.5" customHeight="1">
      <c r="B13" s="26" t="s">
        <v>30</v>
      </c>
      <c r="C13" s="27">
        <f>COUNTIF(Evaluacion!B4:B28,"*H1*")</f>
        <v>4</v>
      </c>
      <c r="D13" s="27">
        <f>IFERROR(_xludf.MAXIFS(Evaluacion!E4:E28,Evaluacion!B4:B28,"*H1*"),0)</f>
        <v>0</v>
      </c>
      <c r="E13" s="28">
        <f>IFERROR(AVERAGEIF(Evaluacion!B4:B28,"*H1*",Evaluacion!E4:E28),0)</f>
        <v>2.25</v>
      </c>
      <c r="F13" s="29" t="str">
        <f t="shared" ref="F13:F22" si="1">IF(C13=0,"Sin problemas",IF(D13&gt;=4,"CRITICO",IF(D13&gt;=3,"MAYOR","MENOR")))</f>
        <v>MENOR</v>
      </c>
      <c r="G13" s="29" t="str">
        <f t="shared" ref="G13:G22" si="2">IF(C13=0,"Sin problemas",IF(D13=4,"1 - Inmediata",IF(D13=3,"2 - Alta",IF(D13=2,"3 - Media","4 - Baja"))))</f>
        <v>4 - Baja</v>
      </c>
    </row>
    <row r="14" ht="19.5" customHeight="1">
      <c r="B14" s="30" t="s">
        <v>36</v>
      </c>
      <c r="C14" s="31">
        <f>COUNTIF(Evaluacion!B4:B28,"*H2*")</f>
        <v>3</v>
      </c>
      <c r="D14" s="31">
        <f>IFERROR(_xludf.MAXIFS(Evaluacion!E4:E28,Evaluacion!B4:B28,"*H2*"),0)</f>
        <v>0</v>
      </c>
      <c r="E14" s="32">
        <f>IFERROR(AVERAGEIF(Evaluacion!B4:B28,"*H2*",Evaluacion!E4:E28),0)</f>
        <v>2</v>
      </c>
      <c r="F14" s="33" t="str">
        <f t="shared" si="1"/>
        <v>MENOR</v>
      </c>
      <c r="G14" s="33" t="str">
        <f t="shared" si="2"/>
        <v>4 - Baja</v>
      </c>
    </row>
    <row r="15" ht="19.5" customHeight="1">
      <c r="B15" s="26" t="s">
        <v>41</v>
      </c>
      <c r="C15" s="27">
        <f>COUNTIF(Evaluacion!B4:B28,"*H3*")</f>
        <v>3</v>
      </c>
      <c r="D15" s="27">
        <f>IFERROR(_xludf.MAXIFS(Evaluacion!E4:E28,Evaluacion!B4:B28,"*H3*"),0)</f>
        <v>0</v>
      </c>
      <c r="E15" s="28">
        <f>IFERROR(AVERAGEIF(Evaluacion!B4:B28,"*H3*",Evaluacion!E4:E28),0)</f>
        <v>2</v>
      </c>
      <c r="F15" s="29" t="str">
        <f t="shared" si="1"/>
        <v>MENOR</v>
      </c>
      <c r="G15" s="29" t="str">
        <f t="shared" si="2"/>
        <v>4 - Baja</v>
      </c>
    </row>
    <row r="16" ht="19.5" customHeight="1">
      <c r="B16" s="30" t="s">
        <v>146</v>
      </c>
      <c r="C16" s="31">
        <f>COUNTIF(Evaluacion!B4:B28,"*H4*")</f>
        <v>3</v>
      </c>
      <c r="D16" s="31">
        <f>IFERROR(_xludf.MAXIFS(Evaluacion!E4:E28,Evaluacion!B4:B28,"*H4*"),0)</f>
        <v>0</v>
      </c>
      <c r="E16" s="32">
        <f>IFERROR(AVERAGEIF(Evaluacion!B4:B28,"*H4*",Evaluacion!E4:E28),0)</f>
        <v>2</v>
      </c>
      <c r="F16" s="33" t="str">
        <f t="shared" si="1"/>
        <v>MENOR</v>
      </c>
      <c r="G16" s="33" t="str">
        <f t="shared" si="2"/>
        <v>4 - Baja</v>
      </c>
    </row>
    <row r="17" ht="19.5" customHeight="1">
      <c r="B17" s="26" t="s">
        <v>147</v>
      </c>
      <c r="C17" s="27">
        <f>COUNTIF(Evaluacion!B4:B28,"*H5*")</f>
        <v>3</v>
      </c>
      <c r="D17" s="27">
        <f>IFERROR(_xludf.MAXIFS(Evaluacion!E4:E28,Evaluacion!B4:B28,"*H5*"),0)</f>
        <v>0</v>
      </c>
      <c r="E17" s="28">
        <f>IFERROR(AVERAGEIF(Evaluacion!B4:B28,"*H5*",Evaluacion!E4:E28),0)</f>
        <v>3</v>
      </c>
      <c r="F17" s="29" t="str">
        <f t="shared" si="1"/>
        <v>MENOR</v>
      </c>
      <c r="G17" s="29" t="str">
        <f t="shared" si="2"/>
        <v>4 - Baja</v>
      </c>
    </row>
    <row r="18" ht="19.5" customHeight="1">
      <c r="B18" s="30" t="s">
        <v>148</v>
      </c>
      <c r="C18" s="31">
        <f>COUNTIF(Evaluacion!B4:B28,"*H6*")</f>
        <v>3</v>
      </c>
      <c r="D18" s="31">
        <f>IFERROR(_xludf.MAXIFS(Evaluacion!E4:E28,Evaluacion!B4:B28,"*H6*"),0)</f>
        <v>0</v>
      </c>
      <c r="E18" s="32">
        <f>IFERROR(AVERAGEIF(Evaluacion!B4:B28,"*H6*",Evaluacion!E4:E28),0)</f>
        <v>1.666666667</v>
      </c>
      <c r="F18" s="33" t="str">
        <f t="shared" si="1"/>
        <v>MENOR</v>
      </c>
      <c r="G18" s="33" t="str">
        <f t="shared" si="2"/>
        <v>4 - Baja</v>
      </c>
    </row>
    <row r="19" ht="19.5" customHeight="1">
      <c r="B19" s="26" t="s">
        <v>61</v>
      </c>
      <c r="C19" s="27">
        <f>COUNTIF(Evaluacion!B4:B28,"*H7*")</f>
        <v>3</v>
      </c>
      <c r="D19" s="27">
        <f>IFERROR(_xludf.MAXIFS(Evaluacion!E4:E28,Evaluacion!B4:B28,"*H7*"),0)</f>
        <v>0</v>
      </c>
      <c r="E19" s="28">
        <f>IFERROR(AVERAGEIF(Evaluacion!B4:B28,"*H7*",Evaluacion!E4:E28),0)</f>
        <v>2.666666667</v>
      </c>
      <c r="F19" s="29" t="str">
        <f t="shared" si="1"/>
        <v>MENOR</v>
      </c>
      <c r="G19" s="29" t="str">
        <f t="shared" si="2"/>
        <v>4 - Baja</v>
      </c>
    </row>
    <row r="20" ht="19.5" customHeight="1">
      <c r="B20" s="30" t="s">
        <v>149</v>
      </c>
      <c r="C20" s="31">
        <f>COUNTIF(Evaluacion!B4:B28,"*H8*")</f>
        <v>2</v>
      </c>
      <c r="D20" s="31">
        <f>IFERROR(_xludf.MAXIFS(Evaluacion!E4:E28,Evaluacion!B4:B28,"*H8*"),0)</f>
        <v>0</v>
      </c>
      <c r="E20" s="32">
        <f>IFERROR(AVERAGEIF(Evaluacion!B4:B28,"*H8*",Evaluacion!E4:E28),0)</f>
        <v>2</v>
      </c>
      <c r="F20" s="33" t="str">
        <f t="shared" si="1"/>
        <v>MENOR</v>
      </c>
      <c r="G20" s="33" t="str">
        <f t="shared" si="2"/>
        <v>4 - Baja</v>
      </c>
    </row>
    <row r="21" ht="19.5" customHeight="1">
      <c r="B21" s="26" t="s">
        <v>150</v>
      </c>
      <c r="C21" s="27">
        <f>COUNTIF(Evaluacion!B4:B28,"*H9*")</f>
        <v>1</v>
      </c>
      <c r="D21" s="27">
        <f>IFERROR(_xludf.MAXIFS(Evaluacion!E4:E28,Evaluacion!B4:B28,"*H9*"),0)</f>
        <v>0</v>
      </c>
      <c r="E21" s="28">
        <f>IFERROR(AVERAGEIF(Evaluacion!B4:B28,"*H9*",Evaluacion!E4:E28),0)</f>
        <v>3</v>
      </c>
      <c r="F21" s="29" t="str">
        <f t="shared" si="1"/>
        <v>MENOR</v>
      </c>
      <c r="G21" s="29" t="str">
        <f t="shared" si="2"/>
        <v>4 - Baja</v>
      </c>
    </row>
    <row r="22" ht="19.5" customHeight="1">
      <c r="B22" s="30" t="s">
        <v>151</v>
      </c>
      <c r="C22" s="31">
        <f>COUNTIF(Evaluacion!B4:B28,"*H10*")</f>
        <v>1</v>
      </c>
      <c r="D22" s="31">
        <f>IFERROR(_xludf.MAXIFS(Evaluacion!E4:E28,Evaluacion!B4:B28,"*H10*"),0)</f>
        <v>0</v>
      </c>
      <c r="E22" s="32">
        <f>IFERROR(AVERAGEIF(Evaluacion!B4:B28,"*H10*",Evaluacion!E4:E28),0)</f>
        <v>2</v>
      </c>
      <c r="F22" s="33" t="str">
        <f t="shared" si="1"/>
        <v>MENOR</v>
      </c>
      <c r="G22" s="33" t="str">
        <f t="shared" si="2"/>
        <v>4 - Baja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9:D9"/>
    <mergeCell ref="B11:G11"/>
    <mergeCell ref="B1:G1"/>
    <mergeCell ref="B2:G2"/>
    <mergeCell ref="B4:G4"/>
    <mergeCell ref="C5:D5"/>
    <mergeCell ref="C6:D6"/>
    <mergeCell ref="C7:D7"/>
    <mergeCell ref="C8:D8"/>
  </mergeCells>
  <conditionalFormatting sqref="F13:F22">
    <cfRule type="cellIs" dxfId="5" priority="1" operator="equal">
      <formula>"CRITICO"</formula>
    </cfRule>
  </conditionalFormatting>
  <conditionalFormatting sqref="F13:F22">
    <cfRule type="cellIs" dxfId="6" priority="2" operator="equal">
      <formula>"MAYOR"</formula>
    </cfRule>
  </conditionalFormatting>
  <conditionalFormatting sqref="F13:F22">
    <cfRule type="cellIs" dxfId="7" priority="3" operator="equal">
      <formula>"Sin problemas"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7.0"/>
    <col customWidth="1" min="3" max="3" width="26.0"/>
    <col customWidth="1" min="4" max="4" width="38.0"/>
    <col customWidth="1" min="5" max="5" width="32.0"/>
    <col customWidth="1" min="6" max="6" width="28.0"/>
    <col customWidth="1" min="7" max="26" width="8.86"/>
  </cols>
  <sheetData>
    <row r="1" ht="31.5" customHeight="1">
      <c r="B1" s="11" t="s">
        <v>152</v>
      </c>
      <c r="C1" s="2"/>
      <c r="D1" s="2"/>
      <c r="E1" s="2"/>
      <c r="F1" s="3"/>
    </row>
    <row r="2" ht="15.75" customHeight="1">
      <c r="B2" s="12" t="s">
        <v>153</v>
      </c>
      <c r="C2" s="2"/>
      <c r="D2" s="2"/>
      <c r="E2" s="2"/>
      <c r="F2" s="3"/>
    </row>
    <row r="3" ht="21.75" customHeight="1">
      <c r="B3" s="13" t="s">
        <v>154</v>
      </c>
      <c r="C3" s="13" t="s">
        <v>140</v>
      </c>
      <c r="D3" s="13" t="s">
        <v>155</v>
      </c>
      <c r="E3" s="13" t="s">
        <v>156</v>
      </c>
      <c r="F3" s="13" t="s">
        <v>157</v>
      </c>
    </row>
    <row r="4" ht="57.75" customHeight="1">
      <c r="B4" s="34" t="s">
        <v>158</v>
      </c>
      <c r="C4" s="35" t="s">
        <v>159</v>
      </c>
      <c r="D4" s="36" t="s">
        <v>160</v>
      </c>
      <c r="E4" s="36" t="s">
        <v>161</v>
      </c>
      <c r="F4" s="36" t="s">
        <v>162</v>
      </c>
    </row>
    <row r="5" ht="57.75" customHeight="1">
      <c r="B5" s="34" t="s">
        <v>163</v>
      </c>
      <c r="C5" s="35" t="s">
        <v>164</v>
      </c>
      <c r="D5" s="36" t="s">
        <v>165</v>
      </c>
      <c r="E5" s="36" t="s">
        <v>166</v>
      </c>
      <c r="F5" s="36" t="s">
        <v>167</v>
      </c>
    </row>
    <row r="6" ht="57.75" customHeight="1">
      <c r="B6" s="34" t="s">
        <v>168</v>
      </c>
      <c r="C6" s="35" t="s">
        <v>169</v>
      </c>
      <c r="D6" s="36" t="s">
        <v>170</v>
      </c>
      <c r="E6" s="36" t="s">
        <v>171</v>
      </c>
      <c r="F6" s="36" t="s">
        <v>172</v>
      </c>
    </row>
    <row r="7" ht="57.75" customHeight="1">
      <c r="B7" s="34" t="s">
        <v>173</v>
      </c>
      <c r="C7" s="35" t="s">
        <v>174</v>
      </c>
      <c r="D7" s="36" t="s">
        <v>175</v>
      </c>
      <c r="E7" s="36" t="s">
        <v>176</v>
      </c>
      <c r="F7" s="36" t="s">
        <v>177</v>
      </c>
    </row>
    <row r="8" ht="57.75" customHeight="1">
      <c r="B8" s="34" t="s">
        <v>178</v>
      </c>
      <c r="C8" s="35" t="s">
        <v>179</v>
      </c>
      <c r="D8" s="36" t="s">
        <v>180</v>
      </c>
      <c r="E8" s="36" t="s">
        <v>181</v>
      </c>
      <c r="F8" s="36" t="s">
        <v>182</v>
      </c>
    </row>
    <row r="9" ht="57.75" customHeight="1">
      <c r="B9" s="34" t="s">
        <v>183</v>
      </c>
      <c r="C9" s="35" t="s">
        <v>184</v>
      </c>
      <c r="D9" s="36" t="s">
        <v>185</v>
      </c>
      <c r="E9" s="36" t="s">
        <v>186</v>
      </c>
      <c r="F9" s="36" t="s">
        <v>187</v>
      </c>
    </row>
    <row r="10" ht="57.75" customHeight="1">
      <c r="B10" s="34" t="s">
        <v>188</v>
      </c>
      <c r="C10" s="35" t="s">
        <v>189</v>
      </c>
      <c r="D10" s="36" t="s">
        <v>190</v>
      </c>
      <c r="E10" s="36" t="s">
        <v>191</v>
      </c>
      <c r="F10" s="36" t="s">
        <v>192</v>
      </c>
    </row>
    <row r="11" ht="57.75" customHeight="1">
      <c r="B11" s="34" t="s">
        <v>193</v>
      </c>
      <c r="C11" s="35" t="s">
        <v>194</v>
      </c>
      <c r="D11" s="36" t="s">
        <v>195</v>
      </c>
      <c r="E11" s="36" t="s">
        <v>196</v>
      </c>
      <c r="F11" s="36" t="s">
        <v>197</v>
      </c>
    </row>
    <row r="12" ht="57.75" customHeight="1">
      <c r="B12" s="34" t="s">
        <v>198</v>
      </c>
      <c r="C12" s="35" t="s">
        <v>199</v>
      </c>
      <c r="D12" s="36" t="s">
        <v>200</v>
      </c>
      <c r="E12" s="36" t="s">
        <v>201</v>
      </c>
      <c r="F12" s="36" t="s">
        <v>202</v>
      </c>
    </row>
    <row r="13" ht="57.75" customHeight="1">
      <c r="B13" s="34" t="s">
        <v>203</v>
      </c>
      <c r="C13" s="35" t="s">
        <v>204</v>
      </c>
      <c r="D13" s="36" t="s">
        <v>205</v>
      </c>
      <c r="E13" s="36" t="s">
        <v>206</v>
      </c>
      <c r="F13" s="36" t="s">
        <v>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F1"/>
    <mergeCell ref="B2:F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2026-06-12T14:00:04Z</dcterms:created>
  <dc:creator>openpyxl</dc:creator>
</cp:coreProperties>
</file>